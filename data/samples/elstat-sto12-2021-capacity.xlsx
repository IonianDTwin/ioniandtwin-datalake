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ΕΡΕΥΝΑ ΞΕΝΟΔΟΧΕΙΑΚΗΣ ΚΙΝΗΣΗΣ_2021\ΠΙΝΑΚΕΣ 2021\ENGLISH TABLES\"/>
    </mc:Choice>
  </mc:AlternateContent>
  <xr:revisionPtr revIDLastSave="0" documentId="13_ncr:1_{C998EBFA-24B9-4FA3-A09D-CAFB77AC5DE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NG" sheetId="1" r:id="rId1"/>
  </sheets>
  <definedNames>
    <definedName name="_xlnm.Print_Titles" localSheetId="0">ENG!$1:$6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3" i="1" l="1"/>
  <c r="E92" i="1"/>
  <c r="E91" i="1"/>
  <c r="E90" i="1"/>
  <c r="G89" i="1"/>
  <c r="G6" i="1" s="1"/>
  <c r="F89" i="1"/>
  <c r="D89" i="1"/>
  <c r="C89" i="1"/>
  <c r="C6" i="1" s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G75" i="1"/>
  <c r="F75" i="1"/>
  <c r="D75" i="1"/>
  <c r="C75" i="1"/>
  <c r="E75" i="1" s="1"/>
  <c r="E74" i="1"/>
  <c r="E73" i="1"/>
  <c r="E72" i="1"/>
  <c r="E71" i="1"/>
  <c r="E70" i="1"/>
  <c r="G69" i="1"/>
  <c r="F69" i="1"/>
  <c r="D69" i="1"/>
  <c r="E69" i="1" s="1"/>
  <c r="C69" i="1"/>
  <c r="E68" i="1"/>
  <c r="E67" i="1"/>
  <c r="E66" i="1"/>
  <c r="E65" i="1"/>
  <c r="E64" i="1"/>
  <c r="E63" i="1"/>
  <c r="E62" i="1"/>
  <c r="E61" i="1"/>
  <c r="G60" i="1"/>
  <c r="F60" i="1"/>
  <c r="E60" i="1"/>
  <c r="D60" i="1"/>
  <c r="C60" i="1"/>
  <c r="E59" i="1"/>
  <c r="E58" i="1"/>
  <c r="E57" i="1"/>
  <c r="E56" i="1"/>
  <c r="E55" i="1"/>
  <c r="G54" i="1"/>
  <c r="F54" i="1"/>
  <c r="D54" i="1"/>
  <c r="C54" i="1"/>
  <c r="E54" i="1" s="1"/>
  <c r="E53" i="1"/>
  <c r="E52" i="1"/>
  <c r="E51" i="1"/>
  <c r="E50" i="1"/>
  <c r="E49" i="1"/>
  <c r="G48" i="1"/>
  <c r="F48" i="1"/>
  <c r="E48" i="1"/>
  <c r="D48" i="1"/>
  <c r="C48" i="1"/>
  <c r="E47" i="1"/>
  <c r="E46" i="1"/>
  <c r="E45" i="1"/>
  <c r="G44" i="1"/>
  <c r="F44" i="1"/>
  <c r="E44" i="1"/>
  <c r="D44" i="1"/>
  <c r="C44" i="1"/>
  <c r="E43" i="1"/>
  <c r="E42" i="1"/>
  <c r="E41" i="1"/>
  <c r="E40" i="1"/>
  <c r="E39" i="1"/>
  <c r="G38" i="1"/>
  <c r="F38" i="1"/>
  <c r="D38" i="1"/>
  <c r="C38" i="1"/>
  <c r="E38" i="1" s="1"/>
  <c r="E37" i="1"/>
  <c r="E36" i="1"/>
  <c r="E35" i="1"/>
  <c r="E34" i="1"/>
  <c r="G33" i="1"/>
  <c r="F33" i="1"/>
  <c r="D33" i="1"/>
  <c r="E33" i="1" s="1"/>
  <c r="C33" i="1"/>
  <c r="E32" i="1"/>
  <c r="E31" i="1"/>
  <c r="E30" i="1"/>
  <c r="E29" i="1"/>
  <c r="E28" i="1"/>
  <c r="G27" i="1"/>
  <c r="F27" i="1"/>
  <c r="D27" i="1"/>
  <c r="C27" i="1"/>
  <c r="E27" i="1" s="1"/>
  <c r="E26" i="1"/>
  <c r="E25" i="1"/>
  <c r="E24" i="1"/>
  <c r="E23" i="1"/>
  <c r="G22" i="1"/>
  <c r="F22" i="1"/>
  <c r="D22" i="1"/>
  <c r="C22" i="1"/>
  <c r="E22" i="1" s="1"/>
  <c r="E21" i="1"/>
  <c r="E20" i="1"/>
  <c r="E19" i="1"/>
  <c r="E18" i="1"/>
  <c r="E17" i="1"/>
  <c r="E16" i="1"/>
  <c r="E15" i="1"/>
  <c r="G14" i="1"/>
  <c r="F14" i="1"/>
  <c r="D14" i="1"/>
  <c r="C14" i="1"/>
  <c r="E14" i="1" s="1"/>
  <c r="E13" i="1"/>
  <c r="E12" i="1"/>
  <c r="E11" i="1"/>
  <c r="E10" i="1"/>
  <c r="E9" i="1"/>
  <c r="E8" i="1"/>
  <c r="G7" i="1"/>
  <c r="F7" i="1"/>
  <c r="F6" i="1" s="1"/>
  <c r="D7" i="1"/>
  <c r="C7" i="1"/>
  <c r="E7" i="1" s="1"/>
  <c r="E89" i="1" l="1"/>
  <c r="E6" i="1" s="1"/>
  <c r="D6" i="1"/>
</calcChain>
</file>

<file path=xl/sharedStrings.xml><?xml version="1.0" encoding="utf-8"?>
<sst xmlns="http://schemas.openxmlformats.org/spreadsheetml/2006/main" count="112" uniqueCount="98">
  <si>
    <t>Total</t>
  </si>
  <si>
    <t>TABLE 1: Capacity of hotels, similar establishments and camping</t>
  </si>
  <si>
    <t>REGION</t>
  </si>
  <si>
    <t>REGIONAL UNIT</t>
  </si>
  <si>
    <t>GREECE TOTAL</t>
  </si>
  <si>
    <t>TOTAL</t>
  </si>
  <si>
    <t>REGIONAL UNIT OF RODOPI</t>
  </si>
  <si>
    <t>REGIONAL UNIT OF DRAMA</t>
  </si>
  <si>
    <t>REGIONAL UNIT OF EVROS</t>
  </si>
  <si>
    <t>REGIONAL UNIT OF THASSOS</t>
  </si>
  <si>
    <t>REGIONAL UNIT OF KAVALA</t>
  </si>
  <si>
    <t>REGIONAL UNIT OF XANTHI</t>
  </si>
  <si>
    <t>REGIONAL UNIT OF THESSALONIKI</t>
  </si>
  <si>
    <t>REGIONAL UNIT OF IMATHIA</t>
  </si>
  <si>
    <t>REGIONAL UNIT OF KILKIS</t>
  </si>
  <si>
    <t>REGIONAL UNIT OF PELLA</t>
  </si>
  <si>
    <t>REGIONAL UNIT OF PIERIA</t>
  </si>
  <si>
    <t>REGIONAL UNIT OF SERRES</t>
  </si>
  <si>
    <t>REGIONAL UNIT OF CHALKIDIKI</t>
  </si>
  <si>
    <t>REGIONAL UNIT OF KOZANI</t>
  </si>
  <si>
    <t>REGIONAL UNIT OF GREVENA</t>
  </si>
  <si>
    <t>REGIONAL UNIT OF KASTORIA</t>
  </si>
  <si>
    <t>REGIONAL UNIT OF FLORINA</t>
  </si>
  <si>
    <t>REGIONAL UNIT OF LARISSA</t>
  </si>
  <si>
    <t>REGIONAL UNIT OF KARDITSA</t>
  </si>
  <si>
    <t>REGIONAL UNIT OF MAGNISSIA</t>
  </si>
  <si>
    <t>REGIONAL UNIT OF SPORADES</t>
  </si>
  <si>
    <t>REGIONAL UNIT OF TRIKALA</t>
  </si>
  <si>
    <t>REGIONAL UNIT OF IOANNINA</t>
  </si>
  <si>
    <t>REGIONAL UNIT OF ARTA</t>
  </si>
  <si>
    <t>REGIONAL UNIT OF THESPROTIA</t>
  </si>
  <si>
    <t>REGIONAL UNIT OF PREVEZA</t>
  </si>
  <si>
    <t>REGIONAL UNIT OF KERKYRA</t>
  </si>
  <si>
    <t>REGIONAL UNIT OF ZAKYNTHOS</t>
  </si>
  <si>
    <t>REGIONAL UNIT OF ITHAKI</t>
  </si>
  <si>
    <t>REGIONAL UNIT OF KEFALLINIA</t>
  </si>
  <si>
    <t>REGIONAL UNIT OF LEFKADA</t>
  </si>
  <si>
    <t>REGIONAL UNIT OF ACHAIA</t>
  </si>
  <si>
    <t>REGIONAL UNIT OF ETOLOAKARNANIA</t>
  </si>
  <si>
    <t>REGIONAL UNIT OF ILIA</t>
  </si>
  <si>
    <t>REGIONAL UNIT OF FTHIOTIDA</t>
  </si>
  <si>
    <t>REGIONAL UNIT OF VIOTIA</t>
  </si>
  <si>
    <t>REGIONAL UNIT OF EVIA</t>
  </si>
  <si>
    <t>REGIONAL UNIT OF EVRYTANIA</t>
  </si>
  <si>
    <t>REGIONAL UNIT OF FOKIDA</t>
  </si>
  <si>
    <t>REGIONAL UNIT OF ARKADIA</t>
  </si>
  <si>
    <t>REGIONAL UNIT OF ARGOLIDA</t>
  </si>
  <si>
    <t>REGIONAL UNIT OF KORINTHIA</t>
  </si>
  <si>
    <t>REGIONAL UNIT OF LAKONIA</t>
  </si>
  <si>
    <t>REGIONAL UNIT OF MESSINIA</t>
  </si>
  <si>
    <t>REGIONAL UNIT OF KENTRIKOS TOMEAS ATHINON</t>
  </si>
  <si>
    <t>REGIONAL UNIT OF VORIOS TOMEAS ATHINON</t>
  </si>
  <si>
    <t>REGIONAL UNIT OF DYTIKOS TOMEAS ATHINON</t>
  </si>
  <si>
    <t>REGIONAL UNIT OF NOTIOS TOMEAS ATHINON</t>
  </si>
  <si>
    <t>REGIONAL UNIT OF ANATOLIKI ATTIKI</t>
  </si>
  <si>
    <t>REGIONAL UNIT OF DYTIKI ATTIKI</t>
  </si>
  <si>
    <t>REGIONAL UNIT OF PIREAS</t>
  </si>
  <si>
    <t>REGIONAL UNIT OF NISSI</t>
  </si>
  <si>
    <t>REGIONAL UNIT OF LESVOS</t>
  </si>
  <si>
    <t>REGIONAL UNIT OF IKARIA</t>
  </si>
  <si>
    <t>REGIONAL UNIT OF LIMNOS</t>
  </si>
  <si>
    <t>REGIONAL UNIT OF SAMOS</t>
  </si>
  <si>
    <t>REGIONAL UNIT OF CHIOS</t>
  </si>
  <si>
    <t>REGIONAL UNIT OF SYROS</t>
  </si>
  <si>
    <t>REGIONAL UNIT OF ANDROS</t>
  </si>
  <si>
    <t>REGIONAL UNIT OF THIRA</t>
  </si>
  <si>
    <t>REGIONAL UNIT OF KALYMNOS</t>
  </si>
  <si>
    <t>REGIONAL UNIT OF KARPATHOS</t>
  </si>
  <si>
    <t>REGIONAL UNIT OF KEA-KYTHNOS</t>
  </si>
  <si>
    <t>REGIONAL UNIT OF KOS</t>
  </si>
  <si>
    <t>REGIONAL UNIT OF MILOS</t>
  </si>
  <si>
    <t>REGIONAL UNIT OF MYKONOS</t>
  </si>
  <si>
    <t>REGIONAL UNIT OF NAXOS</t>
  </si>
  <si>
    <t>REGIONAL UNIT OF PAROS</t>
  </si>
  <si>
    <t>REGIONAL UNIT OF RODOS</t>
  </si>
  <si>
    <t>REGIONAL UNIT OF TINOS</t>
  </si>
  <si>
    <t>REGIONAL UNIT OF IRAKLIO</t>
  </si>
  <si>
    <t>REGIONAL UNIT OF LASSITHI</t>
  </si>
  <si>
    <t>REGIONAL UNIT OF RETHYMNO</t>
  </si>
  <si>
    <t>REGIONAL UNIT OF CHANIA</t>
  </si>
  <si>
    <t>THESSALIA</t>
  </si>
  <si>
    <t>STEREA ELLADA</t>
  </si>
  <si>
    <t>PELOPONNISOS</t>
  </si>
  <si>
    <t>ATTIKI</t>
  </si>
  <si>
    <t>KRITI</t>
  </si>
  <si>
    <t>Number of Establishments</t>
  </si>
  <si>
    <t>Hotels and similar establishments</t>
  </si>
  <si>
    <t xml:space="preserve">  Tourist campsites</t>
  </si>
  <si>
    <t>ANATOLIKI MAKEDONIA, THRAKI</t>
  </si>
  <si>
    <t>KENTRIKI MAKEDONIA</t>
  </si>
  <si>
    <t>DYTIKI MAKEDONIA</t>
  </si>
  <si>
    <t>IPEIROS</t>
  </si>
  <si>
    <t>IONIA NISIA</t>
  </si>
  <si>
    <t>DYTIKI ELLADA</t>
  </si>
  <si>
    <t>VOREIO AIGAIO</t>
  </si>
  <si>
    <t>NOTIO AIGAIO</t>
  </si>
  <si>
    <t>Number of Bed places</t>
  </si>
  <si>
    <t>Number of Pitches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</si>
</sst>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Greek"/>
      <charset val="161"/>
    </font>
    <font>
      <sz val="10"/>
      <name val="Calibri"/>
      <family val="2"/>
      <charset val="161"/>
    </font>
    <font>
      <b/>
      <sz val="10"/>
      <name val="Calibri"/>
      <family val="2"/>
      <charset val="161"/>
    </font>
    <font>
      <b/>
      <i/>
      <sz val="10"/>
      <name val="Calibri"/>
      <family val="2"/>
      <charset val="161"/>
    </font>
    <font>
      <b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Protection="1"/>
    <xf numFmtId="3" fontId="3" fillId="0" borderId="1" xfId="0" applyNumberFormat="1" applyFont="1" applyBorder="1" applyAlignment="1"/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 wrapText="1"/>
    </xf>
    <xf numFmtId="0" fontId="2" fillId="2" borderId="3" xfId="0" applyFont="1" applyFill="1" applyBorder="1" applyProtection="1"/>
    <xf numFmtId="3" fontId="2" fillId="2" borderId="3" xfId="0" applyNumberFormat="1" applyFont="1" applyFill="1" applyBorder="1" applyProtection="1">
      <protection locked="0"/>
    </xf>
    <xf numFmtId="0" fontId="1" fillId="0" borderId="4" xfId="0" applyFont="1" applyBorder="1" applyProtection="1"/>
    <xf numFmtId="0" fontId="1" fillId="0" borderId="3" xfId="0" applyFont="1" applyBorder="1" applyProtection="1"/>
    <xf numFmtId="3" fontId="1" fillId="0" borderId="3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2" xfId="0" applyFont="1" applyBorder="1" applyProtection="1"/>
    <xf numFmtId="0" fontId="1" fillId="0" borderId="0" xfId="0" applyFont="1" applyProtection="1">
      <protection locked="0"/>
    </xf>
    <xf numFmtId="0" fontId="1" fillId="0" borderId="5" xfId="0" applyFont="1" applyBorder="1" applyProtection="1"/>
    <xf numFmtId="0" fontId="2" fillId="0" borderId="5" xfId="0" applyFont="1" applyFill="1" applyBorder="1" applyProtection="1"/>
    <xf numFmtId="0" fontId="2" fillId="0" borderId="4" xfId="0" applyFont="1" applyFill="1" applyBorder="1" applyProtection="1"/>
    <xf numFmtId="0" fontId="2" fillId="0" borderId="2" xfId="0" applyFont="1" applyFill="1" applyBorder="1" applyProtection="1"/>
    <xf numFmtId="0" fontId="1" fillId="0" borderId="6" xfId="0" applyFont="1" applyBorder="1" applyProtection="1"/>
    <xf numFmtId="0" fontId="1" fillId="0" borderId="0" xfId="0" applyFont="1" applyAlignment="1" applyProtection="1">
      <alignment horizontal="right"/>
      <protection locked="0"/>
    </xf>
    <xf numFmtId="0" fontId="1" fillId="0" borderId="8" xfId="0" applyFont="1" applyBorder="1" applyProtection="1"/>
    <xf numFmtId="3" fontId="1" fillId="0" borderId="8" xfId="0" applyNumberFormat="1" applyFont="1" applyBorder="1" applyProtection="1">
      <protection locked="0"/>
    </xf>
    <xf numFmtId="0" fontId="4" fillId="0" borderId="0" xfId="0" applyFont="1" applyAlignment="1" applyProtection="1">
      <alignment horizontal="center"/>
    </xf>
    <xf numFmtId="0" fontId="2" fillId="0" borderId="7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G2"/>
    </sheetView>
  </sheetViews>
  <sheetFormatPr defaultColWidth="9.28515625" defaultRowHeight="12.75" x14ac:dyDescent="0.2"/>
  <cols>
    <col min="1" max="1" width="44" style="12" customWidth="1"/>
    <col min="2" max="2" width="45.28515625" style="18" customWidth="1"/>
    <col min="3" max="3" width="19.85546875" style="18" customWidth="1"/>
    <col min="4" max="4" width="14.42578125" style="12" customWidth="1"/>
    <col min="5" max="5" width="7.85546875" style="12" customWidth="1"/>
    <col min="6" max="6" width="23.85546875" style="12" customWidth="1"/>
    <col min="7" max="7" width="22" style="12" customWidth="1"/>
    <col min="8" max="16384" width="9.28515625" style="12"/>
  </cols>
  <sheetData>
    <row r="1" spans="1:7" s="1" customFormat="1" ht="15" x14ac:dyDescent="0.25">
      <c r="A1" s="21" t="s">
        <v>1</v>
      </c>
      <c r="B1" s="21"/>
      <c r="C1" s="21"/>
      <c r="D1" s="21"/>
      <c r="E1" s="21"/>
      <c r="F1" s="21"/>
      <c r="G1" s="21"/>
    </row>
    <row r="2" spans="1:7" s="1" customFormat="1" ht="15" x14ac:dyDescent="0.25">
      <c r="A2" s="21">
        <v>2021</v>
      </c>
      <c r="B2" s="21"/>
      <c r="C2" s="21"/>
      <c r="D2" s="21"/>
      <c r="E2" s="21"/>
      <c r="F2" s="21"/>
      <c r="G2" s="21"/>
    </row>
    <row r="3" spans="1:7" s="1" customFormat="1" x14ac:dyDescent="0.2"/>
    <row r="4" spans="1:7" s="1" customFormat="1" x14ac:dyDescent="0.2">
      <c r="A4" s="22" t="s">
        <v>2</v>
      </c>
      <c r="B4" s="22" t="s">
        <v>3</v>
      </c>
      <c r="C4" s="25" t="s">
        <v>85</v>
      </c>
      <c r="D4" s="25"/>
      <c r="E4" s="25"/>
      <c r="F4" s="2" t="s">
        <v>96</v>
      </c>
      <c r="G4" s="3" t="s">
        <v>97</v>
      </c>
    </row>
    <row r="5" spans="1:7" s="1" customFormat="1" ht="25.5" x14ac:dyDescent="0.2">
      <c r="A5" s="23"/>
      <c r="B5" s="24"/>
      <c r="C5" s="4" t="s">
        <v>86</v>
      </c>
      <c r="D5" s="4" t="s">
        <v>87</v>
      </c>
      <c r="E5" s="4" t="s">
        <v>0</v>
      </c>
      <c r="F5" s="4" t="s">
        <v>86</v>
      </c>
      <c r="G5" s="4" t="s">
        <v>87</v>
      </c>
    </row>
    <row r="6" spans="1:7" s="1" customFormat="1" x14ac:dyDescent="0.2">
      <c r="A6" s="5" t="s">
        <v>4</v>
      </c>
      <c r="B6" s="5"/>
      <c r="C6" s="6">
        <f>C7+C14+C22+C27+C33+C38+C44+C48+C54+C60+C69+C75+C89</f>
        <v>10098</v>
      </c>
      <c r="D6" s="6">
        <f>D7+D14+D22+D27+D33+D38+D44+D48+D54+D60+D69+D75+D89</f>
        <v>303</v>
      </c>
      <c r="E6" s="6">
        <f>E7+E14+E22+E27+E33+E38+E44+E48+E54+E60+E69+E75+E89</f>
        <v>10401</v>
      </c>
      <c r="F6" s="6">
        <f>F7+F14+F22+F27+F33+F38+F44+F48+F54+F60+F69+F75+F89</f>
        <v>879255</v>
      </c>
      <c r="G6" s="6">
        <f>G7+G14+G22+G27+G33+G38+G44+G48+G54+G60+G69+G75+G89</f>
        <v>24120</v>
      </c>
    </row>
    <row r="7" spans="1:7" s="1" customFormat="1" x14ac:dyDescent="0.2">
      <c r="A7" s="5" t="s">
        <v>88</v>
      </c>
      <c r="B7" s="5" t="s">
        <v>5</v>
      </c>
      <c r="C7" s="6">
        <f>SUM(C8:C13)</f>
        <v>384</v>
      </c>
      <c r="D7" s="6">
        <f>SUM(D8:D13)</f>
        <v>17</v>
      </c>
      <c r="E7" s="6">
        <f t="shared" ref="E7:E70" si="0">C7+D7</f>
        <v>401</v>
      </c>
      <c r="F7" s="6">
        <f>SUM(F8:F13)</f>
        <v>22418</v>
      </c>
      <c r="G7" s="6">
        <f>SUM(G8:G13)</f>
        <v>2194</v>
      </c>
    </row>
    <row r="8" spans="1:7" s="10" customFormat="1" x14ac:dyDescent="0.2">
      <c r="A8" s="7"/>
      <c r="B8" s="8" t="s">
        <v>6</v>
      </c>
      <c r="C8" s="9">
        <v>21</v>
      </c>
      <c r="D8" s="9">
        <v>2</v>
      </c>
      <c r="E8" s="9">
        <f t="shared" si="0"/>
        <v>23</v>
      </c>
      <c r="F8" s="9">
        <v>1375</v>
      </c>
      <c r="G8" s="9">
        <v>236</v>
      </c>
    </row>
    <row r="9" spans="1:7" x14ac:dyDescent="0.2">
      <c r="A9" s="11"/>
      <c r="B9" s="8" t="s">
        <v>7</v>
      </c>
      <c r="C9" s="9">
        <v>21</v>
      </c>
      <c r="D9" s="9">
        <v>0</v>
      </c>
      <c r="E9" s="9">
        <f t="shared" si="0"/>
        <v>21</v>
      </c>
      <c r="F9" s="9">
        <v>1204</v>
      </c>
      <c r="G9" s="9">
        <v>0</v>
      </c>
    </row>
    <row r="10" spans="1:7" x14ac:dyDescent="0.2">
      <c r="A10" s="11"/>
      <c r="B10" s="8" t="s">
        <v>8</v>
      </c>
      <c r="C10" s="9">
        <v>64</v>
      </c>
      <c r="D10" s="9">
        <v>2</v>
      </c>
      <c r="E10" s="9">
        <f t="shared" si="0"/>
        <v>66</v>
      </c>
      <c r="F10" s="9">
        <v>3858</v>
      </c>
      <c r="G10" s="9">
        <v>321</v>
      </c>
    </row>
    <row r="11" spans="1:7" x14ac:dyDescent="0.2">
      <c r="A11" s="11"/>
      <c r="B11" s="8" t="s">
        <v>9</v>
      </c>
      <c r="C11" s="9">
        <v>208</v>
      </c>
      <c r="D11" s="9">
        <v>4</v>
      </c>
      <c r="E11" s="9">
        <f t="shared" si="0"/>
        <v>212</v>
      </c>
      <c r="F11" s="9">
        <v>11476</v>
      </c>
      <c r="G11" s="9">
        <v>687</v>
      </c>
    </row>
    <row r="12" spans="1:7" x14ac:dyDescent="0.2">
      <c r="A12" s="11"/>
      <c r="B12" s="8" t="s">
        <v>10</v>
      </c>
      <c r="C12" s="9">
        <v>52</v>
      </c>
      <c r="D12" s="9">
        <v>7</v>
      </c>
      <c r="E12" s="9">
        <f t="shared" si="0"/>
        <v>59</v>
      </c>
      <c r="F12" s="9">
        <v>3151</v>
      </c>
      <c r="G12" s="9">
        <v>739</v>
      </c>
    </row>
    <row r="13" spans="1:7" x14ac:dyDescent="0.2">
      <c r="A13" s="13"/>
      <c r="B13" s="8" t="s">
        <v>11</v>
      </c>
      <c r="C13" s="9">
        <v>18</v>
      </c>
      <c r="D13" s="9">
        <v>2</v>
      </c>
      <c r="E13" s="9">
        <f t="shared" si="0"/>
        <v>20</v>
      </c>
      <c r="F13" s="9">
        <v>1354</v>
      </c>
      <c r="G13" s="9">
        <v>211</v>
      </c>
    </row>
    <row r="14" spans="1:7" x14ac:dyDescent="0.2">
      <c r="A14" s="5" t="s">
        <v>89</v>
      </c>
      <c r="B14" s="5" t="s">
        <v>5</v>
      </c>
      <c r="C14" s="6">
        <f>SUM(C15:C21)</f>
        <v>1171</v>
      </c>
      <c r="D14" s="6">
        <f>SUM(D15:D21)</f>
        <v>70</v>
      </c>
      <c r="E14" s="6">
        <f t="shared" si="0"/>
        <v>1241</v>
      </c>
      <c r="F14" s="6">
        <f>SUM(F15:F21)</f>
        <v>94659</v>
      </c>
      <c r="G14" s="6">
        <f>SUM(G15:G21)</f>
        <v>6499</v>
      </c>
    </row>
    <row r="15" spans="1:7" x14ac:dyDescent="0.2">
      <c r="A15" s="7"/>
      <c r="B15" s="8" t="s">
        <v>12</v>
      </c>
      <c r="C15" s="9">
        <v>145</v>
      </c>
      <c r="D15" s="9">
        <v>3</v>
      </c>
      <c r="E15" s="9">
        <f t="shared" si="0"/>
        <v>148</v>
      </c>
      <c r="F15" s="9">
        <v>15735</v>
      </c>
      <c r="G15" s="9">
        <v>1328</v>
      </c>
    </row>
    <row r="16" spans="1:7" x14ac:dyDescent="0.2">
      <c r="A16" s="11"/>
      <c r="B16" s="8" t="s">
        <v>13</v>
      </c>
      <c r="C16" s="9">
        <v>32</v>
      </c>
      <c r="D16" s="9">
        <v>0</v>
      </c>
      <c r="E16" s="9">
        <f t="shared" si="0"/>
        <v>32</v>
      </c>
      <c r="F16" s="9">
        <v>1548</v>
      </c>
      <c r="G16" s="9">
        <v>0</v>
      </c>
    </row>
    <row r="17" spans="1:7" x14ac:dyDescent="0.2">
      <c r="A17" s="11"/>
      <c r="B17" s="8" t="s">
        <v>14</v>
      </c>
      <c r="C17" s="9">
        <v>17</v>
      </c>
      <c r="D17" s="9">
        <v>0</v>
      </c>
      <c r="E17" s="9">
        <f t="shared" si="0"/>
        <v>17</v>
      </c>
      <c r="F17" s="9">
        <v>1034</v>
      </c>
      <c r="G17" s="9">
        <v>0</v>
      </c>
    </row>
    <row r="18" spans="1:7" x14ac:dyDescent="0.2">
      <c r="A18" s="11"/>
      <c r="B18" s="8" t="s">
        <v>15</v>
      </c>
      <c r="C18" s="9">
        <v>62</v>
      </c>
      <c r="D18" s="9">
        <v>0</v>
      </c>
      <c r="E18" s="9">
        <f t="shared" si="0"/>
        <v>62</v>
      </c>
      <c r="F18" s="9">
        <v>2753</v>
      </c>
      <c r="G18" s="9">
        <v>0</v>
      </c>
    </row>
    <row r="19" spans="1:7" x14ac:dyDescent="0.2">
      <c r="A19" s="11"/>
      <c r="B19" s="8" t="s">
        <v>16</v>
      </c>
      <c r="C19" s="9">
        <v>370</v>
      </c>
      <c r="D19" s="9">
        <v>28</v>
      </c>
      <c r="E19" s="9">
        <f t="shared" si="0"/>
        <v>398</v>
      </c>
      <c r="F19" s="9">
        <v>20772</v>
      </c>
      <c r="G19" s="9">
        <v>1779</v>
      </c>
    </row>
    <row r="20" spans="1:7" x14ac:dyDescent="0.2">
      <c r="A20" s="11"/>
      <c r="B20" s="8" t="s">
        <v>17</v>
      </c>
      <c r="C20" s="9">
        <v>33</v>
      </c>
      <c r="D20" s="9">
        <v>0</v>
      </c>
      <c r="E20" s="9">
        <f t="shared" si="0"/>
        <v>33</v>
      </c>
      <c r="F20" s="9">
        <v>2208</v>
      </c>
      <c r="G20" s="9">
        <v>0</v>
      </c>
    </row>
    <row r="21" spans="1:7" x14ac:dyDescent="0.2">
      <c r="A21" s="13"/>
      <c r="B21" s="8" t="s">
        <v>18</v>
      </c>
      <c r="C21" s="9">
        <v>512</v>
      </c>
      <c r="D21" s="9">
        <v>39</v>
      </c>
      <c r="E21" s="9">
        <f t="shared" si="0"/>
        <v>551</v>
      </c>
      <c r="F21" s="9">
        <v>50609</v>
      </c>
      <c r="G21" s="9">
        <v>3392</v>
      </c>
    </row>
    <row r="22" spans="1:7" x14ac:dyDescent="0.2">
      <c r="A22" s="5" t="s">
        <v>90</v>
      </c>
      <c r="B22" s="5" t="s">
        <v>5</v>
      </c>
      <c r="C22" s="6">
        <f>SUM(C23:C26)</f>
        <v>124</v>
      </c>
      <c r="D22" s="6">
        <f>SUM(D23:D26)</f>
        <v>0</v>
      </c>
      <c r="E22" s="6">
        <f t="shared" si="0"/>
        <v>124</v>
      </c>
      <c r="F22" s="6">
        <f>SUM(F23:F26)</f>
        <v>6365</v>
      </c>
      <c r="G22" s="6">
        <f>SUM(G23:G26)</f>
        <v>0</v>
      </c>
    </row>
    <row r="23" spans="1:7" x14ac:dyDescent="0.2">
      <c r="A23" s="7"/>
      <c r="B23" s="8" t="s">
        <v>19</v>
      </c>
      <c r="C23" s="9">
        <v>32</v>
      </c>
      <c r="D23" s="9">
        <v>0</v>
      </c>
      <c r="E23" s="9">
        <f t="shared" si="0"/>
        <v>32</v>
      </c>
      <c r="F23" s="9">
        <v>1727</v>
      </c>
      <c r="G23" s="9">
        <v>0</v>
      </c>
    </row>
    <row r="24" spans="1:7" x14ac:dyDescent="0.2">
      <c r="A24" s="11"/>
      <c r="B24" s="8" t="s">
        <v>20</v>
      </c>
      <c r="C24" s="9">
        <v>22</v>
      </c>
      <c r="D24" s="9">
        <v>0</v>
      </c>
      <c r="E24" s="9">
        <f t="shared" si="0"/>
        <v>22</v>
      </c>
      <c r="F24" s="9">
        <v>1313</v>
      </c>
      <c r="G24" s="9">
        <v>0</v>
      </c>
    </row>
    <row r="25" spans="1:7" x14ac:dyDescent="0.2">
      <c r="A25" s="11"/>
      <c r="B25" s="8" t="s">
        <v>21</v>
      </c>
      <c r="C25" s="9">
        <v>37</v>
      </c>
      <c r="D25" s="9">
        <v>0</v>
      </c>
      <c r="E25" s="9">
        <f t="shared" si="0"/>
        <v>37</v>
      </c>
      <c r="F25" s="9">
        <v>1987</v>
      </c>
      <c r="G25" s="9">
        <v>0</v>
      </c>
    </row>
    <row r="26" spans="1:7" x14ac:dyDescent="0.2">
      <c r="A26" s="13"/>
      <c r="B26" s="8" t="s">
        <v>22</v>
      </c>
      <c r="C26" s="9">
        <v>33</v>
      </c>
      <c r="D26" s="9">
        <v>0</v>
      </c>
      <c r="E26" s="9">
        <f t="shared" si="0"/>
        <v>33</v>
      </c>
      <c r="F26" s="9">
        <v>1338</v>
      </c>
      <c r="G26" s="9">
        <v>0</v>
      </c>
    </row>
    <row r="27" spans="1:7" x14ac:dyDescent="0.2">
      <c r="A27" s="5" t="s">
        <v>80</v>
      </c>
      <c r="B27" s="5" t="s">
        <v>5</v>
      </c>
      <c r="C27" s="6">
        <f>SUM(C28:C32)</f>
        <v>550</v>
      </c>
      <c r="D27" s="6">
        <f>SUM(D28:D32)</f>
        <v>15</v>
      </c>
      <c r="E27" s="6">
        <f t="shared" si="0"/>
        <v>565</v>
      </c>
      <c r="F27" s="6">
        <f>SUM(F28:F32)</f>
        <v>29187</v>
      </c>
      <c r="G27" s="6">
        <f>SUM(G28:G32)</f>
        <v>1071</v>
      </c>
    </row>
    <row r="28" spans="1:7" x14ac:dyDescent="0.2">
      <c r="A28" s="7"/>
      <c r="B28" s="8" t="s">
        <v>23</v>
      </c>
      <c r="C28" s="9">
        <v>38</v>
      </c>
      <c r="D28" s="9">
        <v>3</v>
      </c>
      <c r="E28" s="9">
        <f t="shared" si="0"/>
        <v>41</v>
      </c>
      <c r="F28" s="9">
        <v>2481</v>
      </c>
      <c r="G28" s="9">
        <v>368</v>
      </c>
    </row>
    <row r="29" spans="1:7" x14ac:dyDescent="0.2">
      <c r="A29" s="11"/>
      <c r="B29" s="8" t="s">
        <v>24</v>
      </c>
      <c r="C29" s="9">
        <v>35</v>
      </c>
      <c r="D29" s="9">
        <v>0</v>
      </c>
      <c r="E29" s="9">
        <f t="shared" si="0"/>
        <v>35</v>
      </c>
      <c r="F29" s="9">
        <v>1894</v>
      </c>
      <c r="G29" s="9">
        <v>0</v>
      </c>
    </row>
    <row r="30" spans="1:7" x14ac:dyDescent="0.2">
      <c r="A30" s="11"/>
      <c r="B30" s="8" t="s">
        <v>25</v>
      </c>
      <c r="C30" s="9">
        <v>256</v>
      </c>
      <c r="D30" s="9">
        <v>7</v>
      </c>
      <c r="E30" s="9">
        <f t="shared" si="0"/>
        <v>263</v>
      </c>
      <c r="F30" s="9">
        <v>9231</v>
      </c>
      <c r="G30" s="9">
        <v>458</v>
      </c>
    </row>
    <row r="31" spans="1:7" x14ac:dyDescent="0.2">
      <c r="A31" s="11"/>
      <c r="B31" s="8" t="s">
        <v>26</v>
      </c>
      <c r="C31" s="9">
        <v>147</v>
      </c>
      <c r="D31" s="9">
        <v>1</v>
      </c>
      <c r="E31" s="9">
        <f t="shared" si="0"/>
        <v>148</v>
      </c>
      <c r="F31" s="9">
        <v>10939</v>
      </c>
      <c r="G31" s="9">
        <v>72</v>
      </c>
    </row>
    <row r="32" spans="1:7" x14ac:dyDescent="0.2">
      <c r="A32" s="14"/>
      <c r="B32" s="8" t="s">
        <v>27</v>
      </c>
      <c r="C32" s="9">
        <v>74</v>
      </c>
      <c r="D32" s="9">
        <v>4</v>
      </c>
      <c r="E32" s="9">
        <f t="shared" si="0"/>
        <v>78</v>
      </c>
      <c r="F32" s="9">
        <v>4642</v>
      </c>
      <c r="G32" s="9">
        <v>173</v>
      </c>
    </row>
    <row r="33" spans="1:7" x14ac:dyDescent="0.2">
      <c r="A33" s="5" t="s">
        <v>91</v>
      </c>
      <c r="B33" s="5" t="s">
        <v>5</v>
      </c>
      <c r="C33" s="6">
        <f>SUM(C34:C37)</f>
        <v>438</v>
      </c>
      <c r="D33" s="6">
        <f>SUM(D34:D37)</f>
        <v>17</v>
      </c>
      <c r="E33" s="6">
        <f t="shared" si="0"/>
        <v>455</v>
      </c>
      <c r="F33" s="6">
        <f>SUM(F34:F37)</f>
        <v>18716</v>
      </c>
      <c r="G33" s="6">
        <f>SUM(G34:G37)</f>
        <v>1186</v>
      </c>
    </row>
    <row r="34" spans="1:7" x14ac:dyDescent="0.2">
      <c r="A34" s="7"/>
      <c r="B34" s="8" t="s">
        <v>28</v>
      </c>
      <c r="C34" s="9">
        <v>239</v>
      </c>
      <c r="D34" s="9">
        <v>1</v>
      </c>
      <c r="E34" s="9">
        <f t="shared" si="0"/>
        <v>240</v>
      </c>
      <c r="F34" s="9">
        <v>7966</v>
      </c>
      <c r="G34" s="9">
        <v>70</v>
      </c>
    </row>
    <row r="35" spans="1:7" x14ac:dyDescent="0.2">
      <c r="A35" s="11"/>
      <c r="B35" s="8" t="s">
        <v>29</v>
      </c>
      <c r="C35" s="9">
        <v>17</v>
      </c>
      <c r="D35" s="9">
        <v>0</v>
      </c>
      <c r="E35" s="9">
        <f t="shared" si="0"/>
        <v>17</v>
      </c>
      <c r="F35" s="9">
        <v>758</v>
      </c>
      <c r="G35" s="9">
        <v>0</v>
      </c>
    </row>
    <row r="36" spans="1:7" x14ac:dyDescent="0.2">
      <c r="A36" s="11"/>
      <c r="B36" s="8" t="s">
        <v>30</v>
      </c>
      <c r="C36" s="9">
        <v>66</v>
      </c>
      <c r="D36" s="9">
        <v>5</v>
      </c>
      <c r="E36" s="9">
        <f t="shared" si="0"/>
        <v>71</v>
      </c>
      <c r="F36" s="9">
        <v>3759</v>
      </c>
      <c r="G36" s="9">
        <v>320</v>
      </c>
    </row>
    <row r="37" spans="1:7" x14ac:dyDescent="0.2">
      <c r="A37" s="13"/>
      <c r="B37" s="8" t="s">
        <v>31</v>
      </c>
      <c r="C37" s="9">
        <v>116</v>
      </c>
      <c r="D37" s="9">
        <v>11</v>
      </c>
      <c r="E37" s="9">
        <f t="shared" si="0"/>
        <v>127</v>
      </c>
      <c r="F37" s="9">
        <v>6233</v>
      </c>
      <c r="G37" s="9">
        <v>796</v>
      </c>
    </row>
    <row r="38" spans="1:7" x14ac:dyDescent="0.2">
      <c r="A38" s="5" t="s">
        <v>92</v>
      </c>
      <c r="B38" s="5" t="s">
        <v>5</v>
      </c>
      <c r="C38" s="6">
        <f>SUM(C39:C43)</f>
        <v>1000</v>
      </c>
      <c r="D38" s="6">
        <f>SUM(D39:D43)</f>
        <v>23</v>
      </c>
      <c r="E38" s="6">
        <f t="shared" si="0"/>
        <v>1023</v>
      </c>
      <c r="F38" s="6">
        <f>SUM(F39:F43)</f>
        <v>103808</v>
      </c>
      <c r="G38" s="6">
        <f>SUM(G39:G43)</f>
        <v>1759</v>
      </c>
    </row>
    <row r="39" spans="1:7" x14ac:dyDescent="0.2">
      <c r="A39" s="7"/>
      <c r="B39" s="8" t="s">
        <v>32</v>
      </c>
      <c r="C39" s="9">
        <v>415</v>
      </c>
      <c r="D39" s="9">
        <v>8</v>
      </c>
      <c r="E39" s="9">
        <f t="shared" si="0"/>
        <v>423</v>
      </c>
      <c r="F39" s="9">
        <v>49444</v>
      </c>
      <c r="G39" s="9">
        <v>555</v>
      </c>
    </row>
    <row r="40" spans="1:7" x14ac:dyDescent="0.2">
      <c r="A40" s="11"/>
      <c r="B40" s="8" t="s">
        <v>33</v>
      </c>
      <c r="C40" s="9">
        <v>320</v>
      </c>
      <c r="D40" s="9">
        <v>5</v>
      </c>
      <c r="E40" s="9">
        <f t="shared" si="0"/>
        <v>325</v>
      </c>
      <c r="F40" s="9">
        <v>36696</v>
      </c>
      <c r="G40" s="9">
        <v>401</v>
      </c>
    </row>
    <row r="41" spans="1:7" x14ac:dyDescent="0.2">
      <c r="A41" s="11"/>
      <c r="B41" s="8" t="s">
        <v>34</v>
      </c>
      <c r="C41" s="9">
        <v>8</v>
      </c>
      <c r="D41" s="9">
        <v>0</v>
      </c>
      <c r="E41" s="9">
        <f t="shared" si="0"/>
        <v>8</v>
      </c>
      <c r="F41" s="9">
        <v>265</v>
      </c>
      <c r="G41" s="9">
        <v>0</v>
      </c>
    </row>
    <row r="42" spans="1:7" x14ac:dyDescent="0.2">
      <c r="A42" s="11"/>
      <c r="B42" s="8" t="s">
        <v>35</v>
      </c>
      <c r="C42" s="9">
        <v>153</v>
      </c>
      <c r="D42" s="9">
        <v>2</v>
      </c>
      <c r="E42" s="9">
        <f t="shared" si="0"/>
        <v>155</v>
      </c>
      <c r="F42" s="9">
        <v>11449</v>
      </c>
      <c r="G42" s="9">
        <v>399</v>
      </c>
    </row>
    <row r="43" spans="1:7" x14ac:dyDescent="0.2">
      <c r="A43" s="13"/>
      <c r="B43" s="8" t="s">
        <v>36</v>
      </c>
      <c r="C43" s="9">
        <v>104</v>
      </c>
      <c r="D43" s="9">
        <v>8</v>
      </c>
      <c r="E43" s="9">
        <f t="shared" si="0"/>
        <v>112</v>
      </c>
      <c r="F43" s="9">
        <v>5954</v>
      </c>
      <c r="G43" s="9">
        <v>404</v>
      </c>
    </row>
    <row r="44" spans="1:7" x14ac:dyDescent="0.2">
      <c r="A44" s="5" t="s">
        <v>93</v>
      </c>
      <c r="B44" s="5" t="s">
        <v>5</v>
      </c>
      <c r="C44" s="6">
        <f>SUM(C45:C47)</f>
        <v>276</v>
      </c>
      <c r="D44" s="6">
        <f>SUM(D45:D47)</f>
        <v>23</v>
      </c>
      <c r="E44" s="6">
        <f t="shared" si="0"/>
        <v>299</v>
      </c>
      <c r="F44" s="6">
        <f>SUM(F45:F47)</f>
        <v>19568</v>
      </c>
      <c r="G44" s="6">
        <f>SUM(G45:G47)</f>
        <v>1657</v>
      </c>
    </row>
    <row r="45" spans="1:7" x14ac:dyDescent="0.2">
      <c r="A45" s="7"/>
      <c r="B45" s="8" t="s">
        <v>37</v>
      </c>
      <c r="C45" s="9">
        <v>110</v>
      </c>
      <c r="D45" s="9">
        <v>6</v>
      </c>
      <c r="E45" s="9">
        <f t="shared" si="0"/>
        <v>116</v>
      </c>
      <c r="F45" s="9">
        <v>7367</v>
      </c>
      <c r="G45" s="9">
        <v>404</v>
      </c>
    </row>
    <row r="46" spans="1:7" x14ac:dyDescent="0.2">
      <c r="A46" s="11"/>
      <c r="B46" s="8" t="s">
        <v>38</v>
      </c>
      <c r="C46" s="9">
        <v>80</v>
      </c>
      <c r="D46" s="9">
        <v>4</v>
      </c>
      <c r="E46" s="9">
        <f t="shared" si="0"/>
        <v>84</v>
      </c>
      <c r="F46" s="9">
        <v>4074</v>
      </c>
      <c r="G46" s="9">
        <v>165</v>
      </c>
    </row>
    <row r="47" spans="1:7" x14ac:dyDescent="0.2">
      <c r="A47" s="13"/>
      <c r="B47" s="8" t="s">
        <v>39</v>
      </c>
      <c r="C47" s="9">
        <v>86</v>
      </c>
      <c r="D47" s="9">
        <v>13</v>
      </c>
      <c r="E47" s="9">
        <f t="shared" si="0"/>
        <v>99</v>
      </c>
      <c r="F47" s="9">
        <v>8127</v>
      </c>
      <c r="G47" s="9">
        <v>1088</v>
      </c>
    </row>
    <row r="48" spans="1:7" x14ac:dyDescent="0.2">
      <c r="A48" s="5" t="s">
        <v>81</v>
      </c>
      <c r="B48" s="5" t="s">
        <v>5</v>
      </c>
      <c r="C48" s="6">
        <f>SUM(C49:C53)</f>
        <v>510</v>
      </c>
      <c r="D48" s="6">
        <f>SUM(D49:D53)</f>
        <v>22</v>
      </c>
      <c r="E48" s="6">
        <f t="shared" si="0"/>
        <v>532</v>
      </c>
      <c r="F48" s="6">
        <f>SUM(F49:F53)</f>
        <v>29410</v>
      </c>
      <c r="G48" s="6">
        <f>SUM(G49:G53)</f>
        <v>1567</v>
      </c>
    </row>
    <row r="49" spans="1:7" x14ac:dyDescent="0.2">
      <c r="A49" s="7"/>
      <c r="B49" s="8" t="s">
        <v>40</v>
      </c>
      <c r="C49" s="9">
        <v>120</v>
      </c>
      <c r="D49" s="9">
        <v>7</v>
      </c>
      <c r="E49" s="9">
        <f t="shared" si="0"/>
        <v>127</v>
      </c>
      <c r="F49" s="9">
        <v>5552</v>
      </c>
      <c r="G49" s="9">
        <v>663</v>
      </c>
    </row>
    <row r="50" spans="1:7" x14ac:dyDescent="0.2">
      <c r="A50" s="11"/>
      <c r="B50" s="8" t="s">
        <v>41</v>
      </c>
      <c r="C50" s="9">
        <v>35</v>
      </c>
      <c r="D50" s="9">
        <v>1</v>
      </c>
      <c r="E50" s="9">
        <f t="shared" si="0"/>
        <v>36</v>
      </c>
      <c r="F50" s="9">
        <v>1646</v>
      </c>
      <c r="G50" s="9">
        <v>30</v>
      </c>
    </row>
    <row r="51" spans="1:7" x14ac:dyDescent="0.2">
      <c r="A51" s="11"/>
      <c r="B51" s="8" t="s">
        <v>42</v>
      </c>
      <c r="C51" s="9">
        <v>234</v>
      </c>
      <c r="D51" s="9">
        <v>10</v>
      </c>
      <c r="E51" s="9">
        <f t="shared" si="0"/>
        <v>244</v>
      </c>
      <c r="F51" s="9">
        <v>16533</v>
      </c>
      <c r="G51" s="9">
        <v>667</v>
      </c>
    </row>
    <row r="52" spans="1:7" x14ac:dyDescent="0.2">
      <c r="A52" s="11"/>
      <c r="B52" s="8" t="s">
        <v>43</v>
      </c>
      <c r="C52" s="9">
        <v>39</v>
      </c>
      <c r="D52" s="9">
        <v>0</v>
      </c>
      <c r="E52" s="9">
        <f t="shared" si="0"/>
        <v>39</v>
      </c>
      <c r="F52" s="9">
        <v>1774</v>
      </c>
      <c r="G52" s="9">
        <v>0</v>
      </c>
    </row>
    <row r="53" spans="1:7" x14ac:dyDescent="0.2">
      <c r="A53" s="13"/>
      <c r="B53" s="8" t="s">
        <v>44</v>
      </c>
      <c r="C53" s="9">
        <v>82</v>
      </c>
      <c r="D53" s="9">
        <v>4</v>
      </c>
      <c r="E53" s="9">
        <f t="shared" si="0"/>
        <v>86</v>
      </c>
      <c r="F53" s="9">
        <v>3905</v>
      </c>
      <c r="G53" s="9">
        <v>207</v>
      </c>
    </row>
    <row r="54" spans="1:7" x14ac:dyDescent="0.2">
      <c r="A54" s="5" t="s">
        <v>82</v>
      </c>
      <c r="B54" s="5" t="s">
        <v>5</v>
      </c>
      <c r="C54" s="6">
        <f>SUM(C55:C59)</f>
        <v>681</v>
      </c>
      <c r="D54" s="6">
        <f>SUM(D55:D59)</f>
        <v>57</v>
      </c>
      <c r="E54" s="6">
        <f t="shared" si="0"/>
        <v>738</v>
      </c>
      <c r="F54" s="6">
        <f>SUM(F55:F59)</f>
        <v>39355</v>
      </c>
      <c r="G54" s="6">
        <f>SUM(G55:G59)</f>
        <v>4144</v>
      </c>
    </row>
    <row r="55" spans="1:7" x14ac:dyDescent="0.2">
      <c r="A55" s="7"/>
      <c r="B55" s="8" t="s">
        <v>45</v>
      </c>
      <c r="C55" s="9">
        <v>110</v>
      </c>
      <c r="D55" s="9">
        <v>6</v>
      </c>
      <c r="E55" s="9">
        <f t="shared" si="0"/>
        <v>116</v>
      </c>
      <c r="F55" s="9">
        <v>3452</v>
      </c>
      <c r="G55" s="9">
        <v>385</v>
      </c>
    </row>
    <row r="56" spans="1:7" x14ac:dyDescent="0.2">
      <c r="A56" s="11"/>
      <c r="B56" s="8" t="s">
        <v>46</v>
      </c>
      <c r="C56" s="9">
        <v>145</v>
      </c>
      <c r="D56" s="9">
        <v>21</v>
      </c>
      <c r="E56" s="9">
        <f t="shared" si="0"/>
        <v>166</v>
      </c>
      <c r="F56" s="9">
        <v>10925</v>
      </c>
      <c r="G56" s="9">
        <v>1257</v>
      </c>
    </row>
    <row r="57" spans="1:7" x14ac:dyDescent="0.2">
      <c r="A57" s="11"/>
      <c r="B57" s="8" t="s">
        <v>47</v>
      </c>
      <c r="C57" s="9">
        <v>95</v>
      </c>
      <c r="D57" s="9">
        <v>5</v>
      </c>
      <c r="E57" s="9">
        <f t="shared" si="0"/>
        <v>100</v>
      </c>
      <c r="F57" s="9">
        <v>7311</v>
      </c>
      <c r="G57" s="9">
        <v>432</v>
      </c>
    </row>
    <row r="58" spans="1:7" x14ac:dyDescent="0.2">
      <c r="A58" s="11"/>
      <c r="B58" s="8" t="s">
        <v>48</v>
      </c>
      <c r="C58" s="9">
        <v>174</v>
      </c>
      <c r="D58" s="9">
        <v>9</v>
      </c>
      <c r="E58" s="9">
        <f t="shared" si="0"/>
        <v>183</v>
      </c>
      <c r="F58" s="9">
        <v>6900</v>
      </c>
      <c r="G58" s="9">
        <v>904</v>
      </c>
    </row>
    <row r="59" spans="1:7" x14ac:dyDescent="0.2">
      <c r="A59" s="13"/>
      <c r="B59" s="8" t="s">
        <v>49</v>
      </c>
      <c r="C59" s="9">
        <v>157</v>
      </c>
      <c r="D59" s="9">
        <v>16</v>
      </c>
      <c r="E59" s="9">
        <f t="shared" si="0"/>
        <v>173</v>
      </c>
      <c r="F59" s="9">
        <v>10767</v>
      </c>
      <c r="G59" s="9">
        <v>1166</v>
      </c>
    </row>
    <row r="60" spans="1:7" x14ac:dyDescent="0.2">
      <c r="A60" s="5" t="s">
        <v>83</v>
      </c>
      <c r="B60" s="5" t="s">
        <v>5</v>
      </c>
      <c r="C60" s="6">
        <f>SUM(C61:C68)</f>
        <v>698</v>
      </c>
      <c r="D60" s="6">
        <f>SUM(D61:D68)</f>
        <v>10</v>
      </c>
      <c r="E60" s="6">
        <f t="shared" si="0"/>
        <v>708</v>
      </c>
      <c r="F60" s="6">
        <f>SUM(F61:F68)</f>
        <v>65987</v>
      </c>
      <c r="G60" s="6">
        <f>SUM(G61:G68)</f>
        <v>736</v>
      </c>
    </row>
    <row r="61" spans="1:7" x14ac:dyDescent="0.2">
      <c r="A61" s="7"/>
      <c r="B61" s="8" t="s">
        <v>50</v>
      </c>
      <c r="C61" s="9">
        <v>282</v>
      </c>
      <c r="D61" s="9">
        <v>0</v>
      </c>
      <c r="E61" s="9">
        <f t="shared" si="0"/>
        <v>282</v>
      </c>
      <c r="F61" s="9">
        <v>33197</v>
      </c>
      <c r="G61" s="9">
        <v>0</v>
      </c>
    </row>
    <row r="62" spans="1:7" x14ac:dyDescent="0.2">
      <c r="A62" s="11"/>
      <c r="B62" s="8" t="s">
        <v>51</v>
      </c>
      <c r="C62" s="9">
        <v>29</v>
      </c>
      <c r="D62" s="9">
        <v>1</v>
      </c>
      <c r="E62" s="9">
        <f t="shared" si="0"/>
        <v>30</v>
      </c>
      <c r="F62" s="9">
        <v>2213</v>
      </c>
      <c r="G62" s="9">
        <v>122</v>
      </c>
    </row>
    <row r="63" spans="1:7" x14ac:dyDescent="0.2">
      <c r="A63" s="11"/>
      <c r="B63" s="8" t="s">
        <v>52</v>
      </c>
      <c r="C63" s="9">
        <v>11</v>
      </c>
      <c r="D63" s="9">
        <v>1</v>
      </c>
      <c r="E63" s="9">
        <f t="shared" si="0"/>
        <v>12</v>
      </c>
      <c r="F63" s="9">
        <v>664</v>
      </c>
      <c r="G63" s="9">
        <v>66</v>
      </c>
    </row>
    <row r="64" spans="1:7" x14ac:dyDescent="0.2">
      <c r="A64" s="11"/>
      <c r="B64" s="8" t="s">
        <v>53</v>
      </c>
      <c r="C64" s="9">
        <v>48</v>
      </c>
      <c r="D64" s="9">
        <v>0</v>
      </c>
      <c r="E64" s="9">
        <f t="shared" si="0"/>
        <v>48</v>
      </c>
      <c r="F64" s="9">
        <v>5149</v>
      </c>
      <c r="G64" s="9">
        <v>0</v>
      </c>
    </row>
    <row r="65" spans="1:7" x14ac:dyDescent="0.2">
      <c r="A65" s="11"/>
      <c r="B65" s="8" t="s">
        <v>54</v>
      </c>
      <c r="C65" s="9">
        <v>76</v>
      </c>
      <c r="D65" s="9">
        <v>6</v>
      </c>
      <c r="E65" s="9">
        <f t="shared" si="0"/>
        <v>82</v>
      </c>
      <c r="F65" s="9">
        <v>12340</v>
      </c>
      <c r="G65" s="9">
        <v>468</v>
      </c>
    </row>
    <row r="66" spans="1:7" x14ac:dyDescent="0.2">
      <c r="A66" s="11"/>
      <c r="B66" s="8" t="s">
        <v>55</v>
      </c>
      <c r="C66" s="9">
        <v>13</v>
      </c>
      <c r="D66" s="9">
        <v>0</v>
      </c>
      <c r="E66" s="9">
        <f t="shared" si="0"/>
        <v>13</v>
      </c>
      <c r="F66" s="9">
        <v>1153</v>
      </c>
      <c r="G66" s="9">
        <v>0</v>
      </c>
    </row>
    <row r="67" spans="1:7" x14ac:dyDescent="0.2">
      <c r="A67" s="11"/>
      <c r="B67" s="8" t="s">
        <v>56</v>
      </c>
      <c r="C67" s="9">
        <v>44</v>
      </c>
      <c r="D67" s="9">
        <v>0</v>
      </c>
      <c r="E67" s="9">
        <f t="shared" si="0"/>
        <v>44</v>
      </c>
      <c r="F67" s="9">
        <v>3202</v>
      </c>
      <c r="G67" s="9">
        <v>0</v>
      </c>
    </row>
    <row r="68" spans="1:7" x14ac:dyDescent="0.2">
      <c r="A68" s="13"/>
      <c r="B68" s="8" t="s">
        <v>57</v>
      </c>
      <c r="C68" s="9">
        <v>195</v>
      </c>
      <c r="D68" s="9">
        <v>2</v>
      </c>
      <c r="E68" s="9">
        <f t="shared" si="0"/>
        <v>197</v>
      </c>
      <c r="F68" s="9">
        <v>8069</v>
      </c>
      <c r="G68" s="9">
        <v>80</v>
      </c>
    </row>
    <row r="69" spans="1:7" x14ac:dyDescent="0.2">
      <c r="A69" s="5" t="s">
        <v>94</v>
      </c>
      <c r="B69" s="5" t="s">
        <v>5</v>
      </c>
      <c r="C69" s="6">
        <f>SUM(C70:C74)</f>
        <v>383</v>
      </c>
      <c r="D69" s="6">
        <f>SUM(D70:D74)</f>
        <v>1</v>
      </c>
      <c r="E69" s="6">
        <f t="shared" si="0"/>
        <v>384</v>
      </c>
      <c r="F69" s="6">
        <f>SUM(F70:F74)</f>
        <v>22811</v>
      </c>
      <c r="G69" s="6">
        <f>SUM(G70:G74)</f>
        <v>53</v>
      </c>
    </row>
    <row r="70" spans="1:7" x14ac:dyDescent="0.2">
      <c r="A70" s="7"/>
      <c r="B70" s="8" t="s">
        <v>58</v>
      </c>
      <c r="C70" s="9">
        <v>109</v>
      </c>
      <c r="D70" s="9">
        <v>0</v>
      </c>
      <c r="E70" s="9">
        <f t="shared" si="0"/>
        <v>109</v>
      </c>
      <c r="F70" s="9">
        <v>7087</v>
      </c>
      <c r="G70" s="9">
        <v>0</v>
      </c>
    </row>
    <row r="71" spans="1:7" x14ac:dyDescent="0.2">
      <c r="A71" s="11"/>
      <c r="B71" s="8" t="s">
        <v>59</v>
      </c>
      <c r="C71" s="9">
        <v>24</v>
      </c>
      <c r="D71" s="9">
        <v>0</v>
      </c>
      <c r="E71" s="9">
        <f t="shared" ref="E71:E88" si="1">C71+D71</f>
        <v>24</v>
      </c>
      <c r="F71" s="9">
        <v>1096</v>
      </c>
      <c r="G71" s="9">
        <v>0</v>
      </c>
    </row>
    <row r="72" spans="1:7" x14ac:dyDescent="0.2">
      <c r="A72" s="11"/>
      <c r="B72" s="8" t="s">
        <v>60</v>
      </c>
      <c r="C72" s="9">
        <v>31</v>
      </c>
      <c r="D72" s="9">
        <v>1</v>
      </c>
      <c r="E72" s="9">
        <f t="shared" si="1"/>
        <v>32</v>
      </c>
      <c r="F72" s="9">
        <v>1763</v>
      </c>
      <c r="G72" s="9">
        <v>53</v>
      </c>
    </row>
    <row r="73" spans="1:7" x14ac:dyDescent="0.2">
      <c r="A73" s="11"/>
      <c r="B73" s="8" t="s">
        <v>61</v>
      </c>
      <c r="C73" s="9">
        <v>156</v>
      </c>
      <c r="D73" s="9">
        <v>0</v>
      </c>
      <c r="E73" s="9">
        <f t="shared" si="1"/>
        <v>156</v>
      </c>
      <c r="F73" s="9">
        <v>9841</v>
      </c>
      <c r="G73" s="9">
        <v>0</v>
      </c>
    </row>
    <row r="74" spans="1:7" x14ac:dyDescent="0.2">
      <c r="A74" s="13"/>
      <c r="B74" s="8" t="s">
        <v>62</v>
      </c>
      <c r="C74" s="9">
        <v>63</v>
      </c>
      <c r="D74" s="9">
        <v>0</v>
      </c>
      <c r="E74" s="9">
        <f t="shared" si="1"/>
        <v>63</v>
      </c>
      <c r="F74" s="9">
        <v>3024</v>
      </c>
      <c r="G74" s="9">
        <v>0</v>
      </c>
    </row>
    <row r="75" spans="1:7" x14ac:dyDescent="0.2">
      <c r="A75" s="5" t="s">
        <v>95</v>
      </c>
      <c r="B75" s="5" t="s">
        <v>5</v>
      </c>
      <c r="C75" s="6">
        <f>SUM(C76:C88)</f>
        <v>2239</v>
      </c>
      <c r="D75" s="6">
        <f>SUM(D76:D88)</f>
        <v>33</v>
      </c>
      <c r="E75" s="6">
        <f t="shared" si="1"/>
        <v>2272</v>
      </c>
      <c r="F75" s="6">
        <f>SUM(F76:F88)</f>
        <v>233043</v>
      </c>
      <c r="G75" s="6">
        <f>SUM(G76:G88)</f>
        <v>2494</v>
      </c>
    </row>
    <row r="76" spans="1:7" x14ac:dyDescent="0.2">
      <c r="A76" s="15"/>
      <c r="B76" s="8" t="s">
        <v>63</v>
      </c>
      <c r="C76" s="9">
        <v>52</v>
      </c>
      <c r="D76" s="9">
        <v>1</v>
      </c>
      <c r="E76" s="9">
        <f t="shared" si="1"/>
        <v>53</v>
      </c>
      <c r="F76" s="9">
        <v>2556</v>
      </c>
      <c r="G76" s="9">
        <v>25</v>
      </c>
    </row>
    <row r="77" spans="1:7" x14ac:dyDescent="0.2">
      <c r="A77" s="16"/>
      <c r="B77" s="8" t="s">
        <v>64</v>
      </c>
      <c r="C77" s="9">
        <v>28</v>
      </c>
      <c r="D77" s="9">
        <v>1</v>
      </c>
      <c r="E77" s="9">
        <f t="shared" si="1"/>
        <v>29</v>
      </c>
      <c r="F77" s="9">
        <v>1354</v>
      </c>
      <c r="G77" s="9">
        <v>63</v>
      </c>
    </row>
    <row r="78" spans="1:7" x14ac:dyDescent="0.2">
      <c r="A78" s="16"/>
      <c r="B78" s="8" t="s">
        <v>65</v>
      </c>
      <c r="C78" s="9">
        <v>396</v>
      </c>
      <c r="D78" s="9">
        <v>6</v>
      </c>
      <c r="E78" s="9">
        <f t="shared" si="1"/>
        <v>402</v>
      </c>
      <c r="F78" s="9">
        <v>19795</v>
      </c>
      <c r="G78" s="9">
        <v>624</v>
      </c>
    </row>
    <row r="79" spans="1:7" x14ac:dyDescent="0.2">
      <c r="A79" s="16"/>
      <c r="B79" s="8" t="s">
        <v>66</v>
      </c>
      <c r="C79" s="9">
        <v>128</v>
      </c>
      <c r="D79" s="9">
        <v>3</v>
      </c>
      <c r="E79" s="9">
        <f t="shared" si="1"/>
        <v>131</v>
      </c>
      <c r="F79" s="9">
        <v>5441</v>
      </c>
      <c r="G79" s="9">
        <v>132</v>
      </c>
    </row>
    <row r="80" spans="1:7" x14ac:dyDescent="0.2">
      <c r="A80" s="16"/>
      <c r="B80" s="8" t="s">
        <v>67</v>
      </c>
      <c r="C80" s="9">
        <v>123</v>
      </c>
      <c r="D80" s="9">
        <v>0</v>
      </c>
      <c r="E80" s="9">
        <f t="shared" si="1"/>
        <v>123</v>
      </c>
      <c r="F80" s="9">
        <v>6569</v>
      </c>
      <c r="G80" s="9">
        <v>0</v>
      </c>
    </row>
    <row r="81" spans="1:7" x14ac:dyDescent="0.2">
      <c r="A81" s="16"/>
      <c r="B81" s="8" t="s">
        <v>68</v>
      </c>
      <c r="C81" s="9">
        <v>12</v>
      </c>
      <c r="D81" s="9">
        <v>1</v>
      </c>
      <c r="E81" s="9">
        <f t="shared" si="1"/>
        <v>13</v>
      </c>
      <c r="F81" s="9">
        <v>581</v>
      </c>
      <c r="G81" s="9">
        <v>61</v>
      </c>
    </row>
    <row r="82" spans="1:7" x14ac:dyDescent="0.2">
      <c r="A82" s="16"/>
      <c r="B82" s="8" t="s">
        <v>69</v>
      </c>
      <c r="C82" s="9">
        <v>294</v>
      </c>
      <c r="D82" s="9">
        <v>1</v>
      </c>
      <c r="E82" s="9">
        <f t="shared" si="1"/>
        <v>295</v>
      </c>
      <c r="F82" s="9">
        <v>57240</v>
      </c>
      <c r="G82" s="9">
        <v>20</v>
      </c>
    </row>
    <row r="83" spans="1:7" x14ac:dyDescent="0.2">
      <c r="A83" s="16"/>
      <c r="B83" s="8" t="s">
        <v>70</v>
      </c>
      <c r="C83" s="9">
        <v>80</v>
      </c>
      <c r="D83" s="9">
        <v>4</v>
      </c>
      <c r="E83" s="9">
        <f t="shared" si="1"/>
        <v>84</v>
      </c>
      <c r="F83" s="9">
        <v>3021</v>
      </c>
      <c r="G83" s="9">
        <v>301</v>
      </c>
    </row>
    <row r="84" spans="1:7" x14ac:dyDescent="0.2">
      <c r="A84" s="16"/>
      <c r="B84" s="8" t="s">
        <v>71</v>
      </c>
      <c r="C84" s="9">
        <v>208</v>
      </c>
      <c r="D84" s="9">
        <v>3</v>
      </c>
      <c r="E84" s="9">
        <f t="shared" si="1"/>
        <v>211</v>
      </c>
      <c r="F84" s="9">
        <v>15489</v>
      </c>
      <c r="G84" s="9">
        <v>135</v>
      </c>
    </row>
    <row r="85" spans="1:7" x14ac:dyDescent="0.2">
      <c r="A85" s="16"/>
      <c r="B85" s="8" t="s">
        <v>72</v>
      </c>
      <c r="C85" s="9">
        <v>173</v>
      </c>
      <c r="D85" s="9">
        <v>6</v>
      </c>
      <c r="E85" s="9">
        <f t="shared" si="1"/>
        <v>179</v>
      </c>
      <c r="F85" s="9">
        <v>7880</v>
      </c>
      <c r="G85" s="9">
        <v>583</v>
      </c>
    </row>
    <row r="86" spans="1:7" x14ac:dyDescent="0.2">
      <c r="A86" s="16"/>
      <c r="B86" s="8" t="s">
        <v>73</v>
      </c>
      <c r="C86" s="9">
        <v>153</v>
      </c>
      <c r="D86" s="9">
        <v>7</v>
      </c>
      <c r="E86" s="9">
        <f t="shared" si="1"/>
        <v>160</v>
      </c>
      <c r="F86" s="9">
        <v>7625</v>
      </c>
      <c r="G86" s="9">
        <v>550</v>
      </c>
    </row>
    <row r="87" spans="1:7" x14ac:dyDescent="0.2">
      <c r="A87" s="16"/>
      <c r="B87" s="8" t="s">
        <v>74</v>
      </c>
      <c r="C87" s="9">
        <v>550</v>
      </c>
      <c r="D87" s="9">
        <v>0</v>
      </c>
      <c r="E87" s="9">
        <f t="shared" si="1"/>
        <v>550</v>
      </c>
      <c r="F87" s="9">
        <v>103156</v>
      </c>
      <c r="G87" s="9">
        <v>0</v>
      </c>
    </row>
    <row r="88" spans="1:7" x14ac:dyDescent="0.2">
      <c r="A88" s="13"/>
      <c r="B88" s="8" t="s">
        <v>75</v>
      </c>
      <c r="C88" s="9">
        <v>42</v>
      </c>
      <c r="D88" s="9">
        <v>0</v>
      </c>
      <c r="E88" s="9">
        <f t="shared" si="1"/>
        <v>42</v>
      </c>
      <c r="F88" s="9">
        <v>2336</v>
      </c>
      <c r="G88" s="9">
        <v>0</v>
      </c>
    </row>
    <row r="89" spans="1:7" x14ac:dyDescent="0.2">
      <c r="A89" s="5" t="s">
        <v>84</v>
      </c>
      <c r="B89" s="5" t="s">
        <v>5</v>
      </c>
      <c r="C89" s="6">
        <f>SUM(C90:C93)</f>
        <v>1644</v>
      </c>
      <c r="D89" s="6">
        <f>SUM(D90:D93)</f>
        <v>15</v>
      </c>
      <c r="E89" s="6">
        <f>C89+D89</f>
        <v>1659</v>
      </c>
      <c r="F89" s="6">
        <f>SUM(F90:F93)</f>
        <v>193928</v>
      </c>
      <c r="G89" s="6">
        <f>SUM(G90:G93)</f>
        <v>760</v>
      </c>
    </row>
    <row r="90" spans="1:7" x14ac:dyDescent="0.2">
      <c r="A90" s="7"/>
      <c r="B90" s="8" t="s">
        <v>76</v>
      </c>
      <c r="C90" s="9">
        <v>517</v>
      </c>
      <c r="D90" s="9">
        <v>3</v>
      </c>
      <c r="E90" s="9">
        <f>C90+D90</f>
        <v>520</v>
      </c>
      <c r="F90" s="9">
        <v>80739</v>
      </c>
      <c r="G90" s="9">
        <v>211</v>
      </c>
    </row>
    <row r="91" spans="1:7" x14ac:dyDescent="0.2">
      <c r="A91" s="11"/>
      <c r="B91" s="8" t="s">
        <v>77</v>
      </c>
      <c r="C91" s="9">
        <v>208</v>
      </c>
      <c r="D91" s="9">
        <v>2</v>
      </c>
      <c r="E91" s="9">
        <f>C91+D91</f>
        <v>210</v>
      </c>
      <c r="F91" s="9">
        <v>27695</v>
      </c>
      <c r="G91" s="9">
        <v>106</v>
      </c>
    </row>
    <row r="92" spans="1:7" x14ac:dyDescent="0.2">
      <c r="A92" s="11"/>
      <c r="B92" s="8" t="s">
        <v>78</v>
      </c>
      <c r="C92" s="9">
        <v>337</v>
      </c>
      <c r="D92" s="9">
        <v>4</v>
      </c>
      <c r="E92" s="9">
        <f>C92+D92</f>
        <v>341</v>
      </c>
      <c r="F92" s="9">
        <v>35259</v>
      </c>
      <c r="G92" s="9">
        <v>184</v>
      </c>
    </row>
    <row r="93" spans="1:7" x14ac:dyDescent="0.2">
      <c r="A93" s="17"/>
      <c r="B93" s="19" t="s">
        <v>79</v>
      </c>
      <c r="C93" s="20">
        <v>582</v>
      </c>
      <c r="D93" s="20">
        <v>6</v>
      </c>
      <c r="E93" s="20">
        <f>C93+D93</f>
        <v>588</v>
      </c>
      <c r="F93" s="20">
        <v>50235</v>
      </c>
      <c r="G93" s="20">
        <v>259</v>
      </c>
    </row>
  </sheetData>
  <mergeCells count="5">
    <mergeCell ref="A1:G1"/>
    <mergeCell ref="A2:G2"/>
    <mergeCell ref="A4:A5"/>
    <mergeCell ref="B4:B5"/>
    <mergeCell ref="C4:E4"/>
  </mergeCells>
  <phoneticPr fontId="0" type="noConversion"/>
  <pageMargins left="0.39" right="0.23622047244094491" top="0.98425196850393704" bottom="0.98425196850393704" header="0.51181102362204722" footer="0.51181102362204722"/>
  <pageSetup paperSize="9" orientation="landscape" r:id="rId1"/>
  <headerFooter alignWithMargins="0">
    <oddHeader>&amp;LHELLENIC STATISTICAL AUTHORITY (EL.STAT.)
TOURISM SECTION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ENG</vt:lpstr>
      <vt:lpstr>ENG!Print_Titles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mgiama</dc:creator>
  <cp:lastModifiedBy>Papadopoulou Eleni</cp:lastModifiedBy>
  <cp:lastPrinted>2018-07-31T09:09:06Z</cp:lastPrinted>
  <dcterms:created xsi:type="dcterms:W3CDTF">2007-06-22T09:08:45Z</dcterms:created>
  <dcterms:modified xsi:type="dcterms:W3CDTF">2022-08-11T09:55:12Z</dcterms:modified>
</cp:coreProperties>
</file>